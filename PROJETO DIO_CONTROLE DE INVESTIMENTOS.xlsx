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c.barbosa\Documents\"/>
    </mc:Choice>
  </mc:AlternateContent>
  <xr:revisionPtr revIDLastSave="0" documentId="13_ncr:1_{A9299434-642F-44F7-8CD8-0C320B1C50AF}" xr6:coauthVersionLast="47" xr6:coauthVersionMax="47" xr10:uidLastSave="{00000000-0000-0000-0000-000000000000}"/>
  <bookViews>
    <workbookView xWindow="-110" yWindow="-110" windowWidth="19420" windowHeight="11500" tabRatio="0" xr2:uid="{8C1EFAF2-8476-44C2-A159-5FD638709B83}"/>
  </bookViews>
  <sheets>
    <sheet name="Planilha1" sheetId="1" r:id="rId1"/>
    <sheet name="Planilha2" sheetId="2" r:id="rId2"/>
  </sheets>
  <definedNames>
    <definedName name="Rendimento_carteira">Planilha1!$D$11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C37" i="1"/>
  <c r="D37" i="1" s="1"/>
  <c r="C38" i="1"/>
  <c r="D38" i="1" s="1"/>
  <c r="C39" i="1"/>
  <c r="D39" i="1" s="1"/>
  <c r="C40" i="1"/>
  <c r="D40" i="1" s="1"/>
  <c r="D35" i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32" i="1"/>
  <c r="D41" i="1" l="1"/>
  <c r="D12" i="1" l="1"/>
  <c r="C25" i="1"/>
  <c r="D25" i="1" s="1"/>
  <c r="C26" i="1"/>
  <c r="D26" i="1" s="1"/>
  <c r="C27" i="1"/>
  <c r="D27" i="1" s="1"/>
  <c r="C28" i="1"/>
  <c r="D28" i="1" s="1"/>
  <c r="C24" i="1"/>
  <c r="D24" i="1" s="1"/>
  <c r="D19" i="1"/>
  <c r="D20" i="1" s="1"/>
</calcChain>
</file>

<file path=xl/sharedStrings.xml><?xml version="1.0" encoding="utf-8"?>
<sst xmlns="http://schemas.openxmlformats.org/spreadsheetml/2006/main" count="69" uniqueCount="34">
  <si>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</si>
  <si>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</si>
  <si>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</si>
  <si>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</si>
  <si>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</si>
  <si>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</si>
  <si>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</si>
  <si>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</si>
  <si>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</si>
  <si>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</si>
  <si>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</si>
  <si>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</si>
  <si>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</si>
  <si>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CONFIGURAÇÕES</t>
  </si>
  <si>
    <t>Salário</t>
  </si>
  <si>
    <t>Rendimentos Carteira</t>
  </si>
  <si>
    <t>Sugestão de Investimento</t>
  </si>
  <si>
    <t xml:space="preserve"> </t>
  </si>
  <si>
    <t>PERFIL</t>
  </si>
  <si>
    <t>TIPO DE FII</t>
  </si>
  <si>
    <t>PAPEL</t>
  </si>
  <si>
    <t>TIJOLO</t>
  </si>
  <si>
    <t>HÍBRIDOS</t>
  </si>
  <si>
    <t>FOF'S</t>
  </si>
  <si>
    <t>DESENVOLVIMENTO</t>
  </si>
  <si>
    <t>HOTELARIAS</t>
  </si>
  <si>
    <t>Conservador</t>
  </si>
  <si>
    <t>%</t>
  </si>
  <si>
    <t>Moderado</t>
  </si>
  <si>
    <t>Agressivo</t>
  </si>
  <si>
    <t>VALOR A SER INVESTIDO POR MÊS</t>
  </si>
  <si>
    <t>Tipo de FII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</si>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</sst>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E8B5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indexed="64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indexed="64"/>
      </right>
      <top/>
      <bottom style="medium">
        <color theme="2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9" fontId="0" fillId="0" borderId="0" xfId="1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/>
    <xf numFmtId="0" fontId="0" fillId="0" borderId="0" xfId="0" applyAlignment="1">
      <alignment horizontal="center"/>
    </xf>
    <xf numFmtId="8" fontId="0" fillId="3" borderId="8" xfId="0" applyNumberFormat="1" applyFill="1" applyBorder="1"/>
    <xf numFmtId="0" fontId="2" fillId="2" borderId="12" xfId="0" applyFont="1" applyFill="1" applyBorder="1" applyAlignment="1">
      <alignment horizontal="left" vertical="center"/>
    </xf>
    <xf numFmtId="0" fontId="0" fillId="5" borderId="0" xfId="0" applyFill="1" applyAlignment="1">
      <alignment horizontal="left" indent="2"/>
    </xf>
    <xf numFmtId="0" fontId="3" fillId="0" borderId="0" xfId="0" applyFont="1"/>
    <xf numFmtId="164" fontId="3" fillId="0" borderId="0" xfId="0" applyNumberFormat="1" applyFont="1" applyAlignment="1">
      <alignment horizontal="left" indent="2"/>
    </xf>
    <xf numFmtId="0" fontId="0" fillId="0" borderId="0" xfId="0" applyAlignment="1">
      <alignment horizontal="left" indent="1"/>
    </xf>
    <xf numFmtId="0" fontId="0" fillId="6" borderId="0" xfId="0" applyFill="1"/>
    <xf numFmtId="164" fontId="3" fillId="6" borderId="0" xfId="0" applyNumberFormat="1" applyFont="1" applyFill="1"/>
    <xf numFmtId="0" fontId="3" fillId="6" borderId="0" xfId="0" applyFont="1" applyFill="1"/>
    <xf numFmtId="8" fontId="3" fillId="3" borderId="6" xfId="0" applyNumberFormat="1" applyFont="1" applyFill="1" applyBorder="1"/>
    <xf numFmtId="8" fontId="3" fillId="3" borderId="8" xfId="0" applyNumberFormat="1" applyFont="1" applyFill="1" applyBorder="1"/>
    <xf numFmtId="164" fontId="0" fillId="7" borderId="0" xfId="0" applyNumberFormat="1" applyFill="1"/>
    <xf numFmtId="0" fontId="0" fillId="7" borderId="10" xfId="0" applyFill="1" applyBorder="1" applyAlignment="1">
      <alignment horizontal="left" indent="2"/>
    </xf>
    <xf numFmtId="8" fontId="0" fillId="7" borderId="9" xfId="0" applyNumberFormat="1" applyFill="1" applyBorder="1" applyAlignment="1">
      <alignment horizontal="left" indent="1"/>
    </xf>
    <xf numFmtId="8" fontId="0" fillId="7" borderId="11" xfId="0" applyNumberFormat="1" applyFill="1" applyBorder="1" applyAlignment="1">
      <alignment horizontal="left" indent="1"/>
    </xf>
    <xf numFmtId="0" fontId="0" fillId="7" borderId="5" xfId="0" applyFill="1" applyBorder="1" applyAlignment="1">
      <alignment horizontal="left" indent="2"/>
    </xf>
    <xf numFmtId="8" fontId="0" fillId="7" borderId="3" xfId="0" applyNumberFormat="1" applyFill="1" applyBorder="1" applyAlignment="1">
      <alignment horizontal="left" indent="1"/>
    </xf>
    <xf numFmtId="8" fontId="0" fillId="7" borderId="6" xfId="0" applyNumberFormat="1" applyFill="1" applyBorder="1" applyAlignment="1">
      <alignment horizontal="left" indent="1"/>
    </xf>
    <xf numFmtId="0" fontId="0" fillId="7" borderId="7" xfId="0" applyFill="1" applyBorder="1" applyAlignment="1">
      <alignment horizontal="left" indent="2"/>
    </xf>
    <xf numFmtId="8" fontId="0" fillId="7" borderId="4" xfId="0" applyNumberFormat="1" applyFill="1" applyBorder="1" applyAlignment="1">
      <alignment horizontal="left" indent="1"/>
    </xf>
    <xf numFmtId="8" fontId="0" fillId="7" borderId="8" xfId="0" applyNumberFormat="1" applyFill="1" applyBorder="1" applyAlignment="1">
      <alignment horizontal="left" indent="1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0" xfId="0" applyFill="1" applyAlignment="1">
      <alignment horizontal="left" indent="2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0" fillId="0" borderId="11" xfId="0" applyNumberFormat="1" applyBorder="1" applyProtection="1">
      <protection locked="0"/>
    </xf>
    <xf numFmtId="10" fontId="0" fillId="0" borderId="6" xfId="1" applyNumberFormat="1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6" xfId="0" applyFont="1" applyBorder="1" applyProtection="1">
      <protection locked="0"/>
    </xf>
    <xf numFmtId="10" fontId="3" fillId="0" borderId="6" xfId="1" applyNumberFormat="1" applyFont="1" applyBorder="1" applyProtection="1">
      <protection locked="0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EE8B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AF-4C7F-99BE-3E43204F22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AF-4C7F-99BE-3E43204F22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AF-4C7F-99BE-3E43204F22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AF-4C7F-99BE-3E43204F22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AF-4C7F-99BE-3E43204F225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AF-4C7F-99BE-3E43204F22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Planilha1!$C$35:$C$40</c:f>
              <c:numCache>
                <c:formatCode>0%</c:formatCode>
                <c:ptCount val="6"/>
                <c:pt idx="0">
                  <c:v>0.3</c:v>
                </c:pt>
                <c:pt idx="1">
                  <c:v>0.32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F-4ECE-A3B4-03DFD3D7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377825</xdr:colOff>
      <xdr:row>41</xdr:row>
      <xdr:rowOff>174625</xdr:rowOff>
    </xdr:from>
    <xdr:to>
      <xdr:col>3</xdr:col>
      <xdr:colOff>736600</xdr:colOff>
      <xdr:row>53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6E027F-9407-D8F3-A591-737131E3A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215901</xdr:colOff>
      <xdr:row>0</xdr:row>
      <xdr:rowOff>101600</xdr:rowOff>
    </xdr:from>
    <xdr:to>
      <xdr:col>4</xdr:col>
      <xdr:colOff>279400</xdr:colOff>
      <xdr:row>7</xdr:row>
      <xdr:rowOff>14609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3D3FD8-0A2A-44E1-A084-39975A395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15901" y="101600"/>
          <a:ext cx="4851399" cy="1202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B4E7-CCDC-43A3-917C-1C4B836B8FC9}">
  <dimension ref="A8:F62"/>
  <sheetViews>
    <sheetView showGridLines="0" tabSelected="1" zoomScale="115" zoomScaleNormal="115" workbookViewId="0">
      <selection activeCell="B9" sqref="B9:D9"/>
    </sheetView>
  </sheetViews>
  <sheetFormatPr defaultColWidth="0" defaultRowHeight="14.5" x14ac:dyDescent="0.35"/>
  <cols>
    <col min="1" max="1" width="5.81640625" customWidth="1"/>
    <col min="2" max="2" width="28.36328125" customWidth="1"/>
    <col min="3" max="3" width="20.81640625" customWidth="1"/>
    <col min="4" max="4" width="13.54296875" customWidth="1"/>
    <col min="5" max="5" width="7.90625" customWidth="1"/>
    <col min="6" max="6" width="10.36328125" hidden="1" customWidth="1"/>
    <col min="7" max="16384" width="8.7265625" hidden="1"/>
  </cols>
  <sheetData>
    <row r="8" spans="2:4" ht="15" thickBot="1" x14ac:dyDescent="0.4"/>
    <row r="9" spans="2:4" ht="15" thickBot="1" x14ac:dyDescent="0.4">
      <c r="B9" s="38" t="s">
        <v>13</v>
      </c>
      <c r="C9" s="39"/>
      <c r="D9" s="40"/>
    </row>
    <row r="10" spans="2:4" ht="15" thickBot="1" x14ac:dyDescent="0.4">
      <c r="B10" s="26" t="s">
        <v>14</v>
      </c>
      <c r="C10" s="27"/>
      <c r="D10" s="41">
        <v>5000</v>
      </c>
    </row>
    <row r="11" spans="2:4" ht="15" thickBot="1" x14ac:dyDescent="0.4">
      <c r="B11" s="28" t="s">
        <v>15</v>
      </c>
      <c r="C11" s="29"/>
      <c r="D11" s="42">
        <v>0.01</v>
      </c>
    </row>
    <row r="12" spans="2:4" ht="15" thickBot="1" x14ac:dyDescent="0.4">
      <c r="B12" s="32" t="s">
        <v>16</v>
      </c>
      <c r="C12" s="33"/>
      <c r="D12" s="5">
        <f>D10*30%</f>
        <v>1500</v>
      </c>
    </row>
    <row r="14" spans="2:4" ht="15" thickBot="1" x14ac:dyDescent="0.4"/>
    <row r="15" spans="2:4" ht="27.5" customHeight="1" thickBot="1" x14ac:dyDescent="0.4">
      <c r="B15" s="35" t="s">
        <v>0</v>
      </c>
      <c r="C15" s="36"/>
      <c r="D15" s="37"/>
    </row>
    <row r="16" spans="2:4" ht="15" thickBot="1" x14ac:dyDescent="0.4">
      <c r="B16" s="26" t="s">
        <v>1</v>
      </c>
      <c r="C16" s="27"/>
      <c r="D16" s="43">
        <v>750</v>
      </c>
    </row>
    <row r="17" spans="2:5" ht="15" thickBot="1" x14ac:dyDescent="0.4">
      <c r="B17" s="28" t="s">
        <v>2</v>
      </c>
      <c r="C17" s="29"/>
      <c r="D17" s="44">
        <v>5</v>
      </c>
    </row>
    <row r="18" spans="2:5" ht="15" thickBot="1" x14ac:dyDescent="0.4">
      <c r="B18" s="28" t="s">
        <v>3</v>
      </c>
      <c r="C18" s="29"/>
      <c r="D18" s="45">
        <v>1.0789999999999999E-2</v>
      </c>
    </row>
    <row r="19" spans="2:5" ht="15" thickBot="1" x14ac:dyDescent="0.4">
      <c r="B19" s="30" t="s">
        <v>4</v>
      </c>
      <c r="C19" s="31"/>
      <c r="D19" s="14">
        <f>FV(D18,D17*12,D16*-1)</f>
        <v>62832.685498865736</v>
      </c>
      <c r="E19" t="s">
        <v>17</v>
      </c>
    </row>
    <row r="20" spans="2:5" ht="15" thickBot="1" x14ac:dyDescent="0.4">
      <c r="B20" s="32" t="s">
        <v>5</v>
      </c>
      <c r="C20" s="33"/>
      <c r="D20" s="15">
        <f>D19*1%</f>
        <v>628.32685498865737</v>
      </c>
    </row>
    <row r="22" spans="2:5" ht="15" thickBot="1" x14ac:dyDescent="0.4"/>
    <row r="23" spans="2:5" ht="15" thickBot="1" x14ac:dyDescent="0.4">
      <c r="B23" s="2" t="s">
        <v>6</v>
      </c>
      <c r="C23" s="6"/>
      <c r="D23" s="3" t="s">
        <v>12</v>
      </c>
    </row>
    <row r="24" spans="2:5" ht="15" thickBot="1" x14ac:dyDescent="0.4">
      <c r="B24" s="17" t="s">
        <v>7</v>
      </c>
      <c r="C24" s="18">
        <f>FV($D$18,2*12,$D$16*-1)</f>
        <v>20420.720473233912</v>
      </c>
      <c r="D24" s="19">
        <f>C24*Rendimento_carteira</f>
        <v>204.20720473233914</v>
      </c>
    </row>
    <row r="25" spans="2:5" ht="15" thickBot="1" x14ac:dyDescent="0.4">
      <c r="B25" s="20" t="s">
        <v>8</v>
      </c>
      <c r="C25" s="21">
        <f>FV($D$18,5*12,$D$16*-1)</f>
        <v>62832.685498865736</v>
      </c>
      <c r="D25" s="22">
        <f>C25*Rendimento_carteira</f>
        <v>628.32685498865737</v>
      </c>
    </row>
    <row r="26" spans="2:5" ht="15" thickBot="1" x14ac:dyDescent="0.4">
      <c r="B26" s="20" t="s">
        <v>9</v>
      </c>
      <c r="C26" s="21">
        <f>FV($D$18,10*12,$D$16*-1)</f>
        <v>182463.15939762915</v>
      </c>
      <c r="D26" s="22">
        <f>C26*Rendimento_carteira</f>
        <v>1824.6315939762915</v>
      </c>
    </row>
    <row r="27" spans="2:5" ht="15" thickBot="1" x14ac:dyDescent="0.4">
      <c r="B27" s="20" t="s">
        <v>10</v>
      </c>
      <c r="C27" s="21">
        <f>FV($D$18,20*12,$D$16*-1)</f>
        <v>843898.8000728105</v>
      </c>
      <c r="D27" s="22">
        <f>C27*Rendimento_carteira</f>
        <v>8438.9880007281045</v>
      </c>
    </row>
    <row r="28" spans="2:5" ht="15" thickBot="1" x14ac:dyDescent="0.4">
      <c r="B28" s="23" t="s">
        <v>11</v>
      </c>
      <c r="C28" s="24">
        <f>FV($D$18,30*12,$D$16*-1)</f>
        <v>3241627.2412535357</v>
      </c>
      <c r="D28" s="25">
        <f>C28*Rendimento_carteira</f>
        <v>32416.27241253536</v>
      </c>
    </row>
    <row r="31" spans="2:5" x14ac:dyDescent="0.35">
      <c r="B31" s="7" t="s">
        <v>18</v>
      </c>
      <c r="C31" s="34" t="s">
        <v>29</v>
      </c>
      <c r="D31" s="34"/>
    </row>
    <row r="32" spans="2:5" x14ac:dyDescent="0.35">
      <c r="B32" s="8" t="s">
        <v>30</v>
      </c>
      <c r="C32" s="9">
        <f>D16</f>
        <v>750</v>
      </c>
      <c r="D32" s="10"/>
    </row>
    <row r="34" spans="2:4" x14ac:dyDescent="0.35">
      <c r="B34" s="13" t="s">
        <v>31</v>
      </c>
      <c r="C34" s="13" t="s">
        <v>32</v>
      </c>
      <c r="D34" s="13" t="s">
        <v>33</v>
      </c>
    </row>
    <row r="35" spans="2:4" x14ac:dyDescent="0.35">
      <c r="B35" s="4" t="s">
        <v>20</v>
      </c>
      <c r="C35" s="1">
        <v>0.3</v>
      </c>
      <c r="D35" s="16">
        <f>C35*$C$32</f>
        <v>225</v>
      </c>
    </row>
    <row r="36" spans="2:4" x14ac:dyDescent="0.35">
      <c r="B36" s="4" t="s">
        <v>21</v>
      </c>
      <c r="C36" s="1">
        <v>0.32</v>
      </c>
      <c r="D36" s="16">
        <f t="shared" ref="D36:D40" si="0">C36*$C$32</f>
        <v>240</v>
      </c>
    </row>
    <row r="37" spans="2:4" x14ac:dyDescent="0.35">
      <c r="B37" s="4" t="s">
        <v>22</v>
      </c>
      <c r="C37" s="1">
        <f>_xlfn.XLOOKUP($C$31&amp;B37,Planilha2!A:A,Planilha2!D:D,"-")</f>
        <v>0.05</v>
      </c>
      <c r="D37" s="16">
        <f t="shared" si="0"/>
        <v>37.5</v>
      </c>
    </row>
    <row r="38" spans="2:4" x14ac:dyDescent="0.35">
      <c r="B38" s="4" t="s">
        <v>23</v>
      </c>
      <c r="C38" s="1">
        <f>_xlfn.XLOOKUP($C$31&amp;B38,Planilha2!A:A,Planilha2!D:D,"-")</f>
        <v>0.05</v>
      </c>
      <c r="D38" s="16">
        <f t="shared" si="0"/>
        <v>37.5</v>
      </c>
    </row>
    <row r="39" spans="2:4" x14ac:dyDescent="0.35">
      <c r="B39" s="4" t="s">
        <v>24</v>
      </c>
      <c r="C39" s="1">
        <f>_xlfn.XLOOKUP($C$31&amp;B39,Planilha2!A:A,Planilha2!D:D,"-")</f>
        <v>0.2</v>
      </c>
      <c r="D39" s="16">
        <f t="shared" si="0"/>
        <v>150</v>
      </c>
    </row>
    <row r="40" spans="2:4" x14ac:dyDescent="0.35">
      <c r="B40" s="4" t="s">
        <v>25</v>
      </c>
      <c r="C40" s="1">
        <f>_xlfn.XLOOKUP($C$31&amp;B40,Planilha2!A:A,Planilha2!D:D,"-")</f>
        <v>0.1</v>
      </c>
      <c r="D40" s="16">
        <f t="shared" si="0"/>
        <v>75</v>
      </c>
    </row>
    <row r="41" spans="2:4" x14ac:dyDescent="0.35">
      <c r="B41" s="11"/>
      <c r="C41" s="11"/>
      <c r="D41" s="12">
        <f>SUM(D35:D40)</f>
        <v>765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</sheetData>
  <sheetProtection algorithmName="SHA-512" hashValue="bICLAV2hhKM2mW0/Hw0TIgiN9vR437l1TqcYCrJNBmJZURZ8GT5JRw33YOnSps5cK9QzTKLLl8sUW3jyCOuBlQ==" saltValue="BDnU5NILFqnsaoAYbYnPzA==" spinCount="100000" sheet="1" objects="1" scenarios="1"/>
  <mergeCells count="11">
    <mergeCell ref="B9:D9"/>
    <mergeCell ref="C31:D31"/>
    <mergeCell ref="B10:C10"/>
    <mergeCell ref="B11:C11"/>
    <mergeCell ref="B12:C12"/>
    <mergeCell ref="B15:D15"/>
    <mergeCell ref="B16:C16"/>
    <mergeCell ref="B17:C17"/>
    <mergeCell ref="B18:C18"/>
    <mergeCell ref="B19:C19"/>
    <mergeCell ref="B20:C20"/>
  </mergeCells>
  <dataValidations disablePrompts="1" count="1">
    <dataValidation type="list" allowBlank="1" showInputMessage="1" showErrorMessage="1" sqref="C31" xr:uid="{67CDC22F-2174-41A3-A4A6-F0063B3F6DE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4F22-260F-4BA8-B87F-DBCDC3EA4FBC}">
  <dimension ref="A3:D21"/>
  <sheetViews>
    <sheetView workbookViewId="0">
      <selection activeCell="A4" sqref="A4:A21"/>
    </sheetView>
  </sheetViews>
  <sheetFormatPr defaultRowHeight="14.5" x14ac:dyDescent="0.35"/>
  <cols>
    <col min="2" max="2" width="11.08984375" bestFit="1" customWidth="1"/>
    <col min="3" max="3" width="17.453125" bestFit="1" customWidth="1"/>
  </cols>
  <sheetData>
    <row r="3" spans="1:4" x14ac:dyDescent="0.35">
      <c r="B3" t="s">
        <v>18</v>
      </c>
      <c r="C3" t="s">
        <v>19</v>
      </c>
      <c r="D3" t="s">
        <v>27</v>
      </c>
    </row>
    <row r="4" spans="1:4" x14ac:dyDescent="0.35">
      <c r="A4" t="str">
        <f>B4&amp;C4</f>
        <v>ConservadorPAPEL</v>
      </c>
      <c r="B4" t="s">
        <v>26</v>
      </c>
      <c r="C4" t="s">
        <v>20</v>
      </c>
      <c r="D4" s="1">
        <v>0.3</v>
      </c>
    </row>
    <row r="5" spans="1:4" x14ac:dyDescent="0.35">
      <c r="A5" t="str">
        <f t="shared" ref="A5:A21" si="0">B5&amp;C5</f>
        <v>ConservadorTIJOLO</v>
      </c>
      <c r="B5" t="s">
        <v>26</v>
      </c>
      <c r="C5" t="s">
        <v>21</v>
      </c>
      <c r="D5" s="1">
        <v>0.5</v>
      </c>
    </row>
    <row r="6" spans="1:4" x14ac:dyDescent="0.35">
      <c r="A6" t="str">
        <f t="shared" si="0"/>
        <v>ConservadorHÍBRIDOS</v>
      </c>
      <c r="B6" t="s">
        <v>26</v>
      </c>
      <c r="C6" t="s">
        <v>22</v>
      </c>
      <c r="D6" s="1">
        <v>0.1</v>
      </c>
    </row>
    <row r="7" spans="1:4" x14ac:dyDescent="0.35">
      <c r="A7" t="str">
        <f t="shared" si="0"/>
        <v>ConservadorFOF'S</v>
      </c>
      <c r="B7" t="s">
        <v>26</v>
      </c>
      <c r="C7" t="s">
        <v>23</v>
      </c>
      <c r="D7" s="1">
        <v>0.1</v>
      </c>
    </row>
    <row r="8" spans="1:4" x14ac:dyDescent="0.35">
      <c r="A8" t="str">
        <f t="shared" si="0"/>
        <v>ConservadorDESENVOLVIMENTO</v>
      </c>
      <c r="B8" t="s">
        <v>26</v>
      </c>
      <c r="C8" t="s">
        <v>24</v>
      </c>
      <c r="D8" s="1">
        <v>0</v>
      </c>
    </row>
    <row r="9" spans="1:4" x14ac:dyDescent="0.35">
      <c r="A9" t="str">
        <f t="shared" si="0"/>
        <v>ConservadorHOTELARIAS</v>
      </c>
      <c r="B9" t="s">
        <v>26</v>
      </c>
      <c r="C9" t="s">
        <v>25</v>
      </c>
      <c r="D9" s="1">
        <v>0</v>
      </c>
    </row>
    <row r="10" spans="1:4" x14ac:dyDescent="0.35">
      <c r="A10" t="str">
        <f t="shared" si="0"/>
        <v>ModeradoPAPEL</v>
      </c>
      <c r="B10" t="s">
        <v>28</v>
      </c>
      <c r="C10" t="s">
        <v>20</v>
      </c>
      <c r="D10" s="1">
        <v>0.32</v>
      </c>
    </row>
    <row r="11" spans="1:4" x14ac:dyDescent="0.35">
      <c r="A11" t="str">
        <f t="shared" si="0"/>
        <v>ModeradoTIJOLO</v>
      </c>
      <c r="B11" t="s">
        <v>28</v>
      </c>
      <c r="C11" t="s">
        <v>21</v>
      </c>
      <c r="D11" s="1">
        <v>0.4</v>
      </c>
    </row>
    <row r="12" spans="1:4" x14ac:dyDescent="0.35">
      <c r="A12" t="str">
        <f t="shared" si="0"/>
        <v>ModeradoHÍBRIDOS</v>
      </c>
      <c r="B12" t="s">
        <v>28</v>
      </c>
      <c r="C12" t="s">
        <v>22</v>
      </c>
      <c r="D12" s="1">
        <v>0.08</v>
      </c>
    </row>
    <row r="13" spans="1:4" x14ac:dyDescent="0.35">
      <c r="A13" t="str">
        <f t="shared" si="0"/>
        <v>ModeradoFOF'S</v>
      </c>
      <c r="B13" t="s">
        <v>28</v>
      </c>
      <c r="C13" t="s">
        <v>23</v>
      </c>
      <c r="D13" s="1">
        <v>0.1</v>
      </c>
    </row>
    <row r="14" spans="1:4" x14ac:dyDescent="0.35">
      <c r="A14" t="str">
        <f t="shared" si="0"/>
        <v>ModeradoDESENVOLVIMENTO</v>
      </c>
      <c r="B14" t="s">
        <v>28</v>
      </c>
      <c r="C14" t="s">
        <v>24</v>
      </c>
      <c r="D14" s="1">
        <v>0.1</v>
      </c>
    </row>
    <row r="15" spans="1:4" x14ac:dyDescent="0.35">
      <c r="A15" t="str">
        <f t="shared" si="0"/>
        <v>ModeradoHOTELARIAS</v>
      </c>
      <c r="B15" t="s">
        <v>28</v>
      </c>
      <c r="C15" t="s">
        <v>25</v>
      </c>
      <c r="D15" s="1">
        <v>0.1</v>
      </c>
    </row>
    <row r="16" spans="1:4" x14ac:dyDescent="0.35">
      <c r="A16" t="str">
        <f t="shared" si="0"/>
        <v>AgressivoPAPEL</v>
      </c>
      <c r="B16" t="s">
        <v>29</v>
      </c>
      <c r="C16" t="s">
        <v>20</v>
      </c>
      <c r="D16" s="1">
        <v>0.5</v>
      </c>
    </row>
    <row r="17" spans="1:4" x14ac:dyDescent="0.35">
      <c r="A17" t="str">
        <f t="shared" si="0"/>
        <v>AgressivoTIJOLO</v>
      </c>
      <c r="B17" t="s">
        <v>29</v>
      </c>
      <c r="C17" t="s">
        <v>21</v>
      </c>
      <c r="D17" s="1">
        <v>0.1</v>
      </c>
    </row>
    <row r="18" spans="1:4" x14ac:dyDescent="0.35">
      <c r="A18" t="str">
        <f t="shared" si="0"/>
        <v>AgressivoHÍBRIDOS</v>
      </c>
      <c r="B18" t="s">
        <v>29</v>
      </c>
      <c r="C18" t="s">
        <v>22</v>
      </c>
      <c r="D18" s="1">
        <v>0.05</v>
      </c>
    </row>
    <row r="19" spans="1:4" x14ac:dyDescent="0.35">
      <c r="A19" t="str">
        <f t="shared" si="0"/>
        <v>AgressivoFOF'S</v>
      </c>
      <c r="B19" t="s">
        <v>29</v>
      </c>
      <c r="C19" t="s">
        <v>23</v>
      </c>
      <c r="D19" s="1">
        <v>0.05</v>
      </c>
    </row>
    <row r="20" spans="1:4" x14ac:dyDescent="0.35">
      <c r="A20" t="str">
        <f t="shared" si="0"/>
        <v>AgressivoDESENVOLVIMENTO</v>
      </c>
      <c r="B20" t="s">
        <v>29</v>
      </c>
      <c r="C20" t="s">
        <v>24</v>
      </c>
      <c r="D20" s="1">
        <v>0.2</v>
      </c>
    </row>
    <row r="21" spans="1:4" x14ac:dyDescent="0.35">
      <c r="A21" t="str">
        <f t="shared" si="0"/>
        <v>AgressivoHOTELARIAS</v>
      </c>
      <c r="B21" t="s">
        <v>29</v>
      </c>
      <c r="C21" t="s">
        <v>25</v>
      </c>
      <c r="D21" s="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CRISTINA ROCHA BARBOSA</dc:creator>
  <cp:lastModifiedBy>DANIELA CRISTINA ROCHA BARBOSA</cp:lastModifiedBy>
  <dcterms:created xsi:type="dcterms:W3CDTF">2026-01-07T02:39:43Z</dcterms:created>
  <dcterms:modified xsi:type="dcterms:W3CDTF">2026-01-08T20:49:23Z</dcterms:modified>
</cp:coreProperties>
</file>